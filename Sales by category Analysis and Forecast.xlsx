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e92a205bdf12e9/Desktop/Adv.Dip in Data Analytics_module1/module1_project/"/>
    </mc:Choice>
  </mc:AlternateContent>
  <xr:revisionPtr revIDLastSave="103" documentId="8_{D62D35E1-D90A-4723-8012-62F1D2AD6473}" xr6:coauthVersionLast="47" xr6:coauthVersionMax="47" xr10:uidLastSave="{82562B6F-4E23-463B-AC84-3BBA9CD8FEE5}"/>
  <bookViews>
    <workbookView xWindow="2340" yWindow="2340" windowWidth="21660" windowHeight="12585" tabRatio="472" xr2:uid="{3FD2C801-FD04-4973-B8EA-583E839D2D19}"/>
  </bookViews>
  <sheets>
    <sheet name="Monthly Sales" sheetId="2" r:id="rId1"/>
    <sheet name="Sales Forecast" sheetId="3" r:id="rId2"/>
    <sheet name="Sales_Inv_Comparison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B19" i="1"/>
  <c r="C10" i="3"/>
  <c r="C9" i="3"/>
  <c r="D9" i="3" l="1"/>
  <c r="E10" i="3"/>
  <c r="D10" i="3"/>
  <c r="E9" i="3"/>
</calcChain>
</file>

<file path=xl/sharedStrings.xml><?xml version="1.0" encoding="utf-8"?>
<sst xmlns="http://schemas.openxmlformats.org/spreadsheetml/2006/main" count="141" uniqueCount="34">
  <si>
    <t>Category</t>
  </si>
  <si>
    <t>Total_Sales</t>
  </si>
  <si>
    <t>Sales_Rank</t>
  </si>
  <si>
    <t>Sports</t>
  </si>
  <si>
    <t>Sci-Fi</t>
  </si>
  <si>
    <t>Animation</t>
  </si>
  <si>
    <t>Drama</t>
  </si>
  <si>
    <t>Comedy</t>
  </si>
  <si>
    <t>Action</t>
  </si>
  <si>
    <t>New</t>
  </si>
  <si>
    <t>Games</t>
  </si>
  <si>
    <t>Foreign</t>
  </si>
  <si>
    <t>Family</t>
  </si>
  <si>
    <t>Documentary</t>
  </si>
  <si>
    <t>Horror</t>
  </si>
  <si>
    <t>Children</t>
  </si>
  <si>
    <t>Classics</t>
  </si>
  <si>
    <t>Travel</t>
  </si>
  <si>
    <t>Music</t>
  </si>
  <si>
    <t>GrandTotal</t>
  </si>
  <si>
    <t>Inventory_Count</t>
  </si>
  <si>
    <t>Inv_Rank</t>
  </si>
  <si>
    <t>%total_sales</t>
  </si>
  <si>
    <t>%total_inv</t>
  </si>
  <si>
    <t>For chart purpose : Sales amount and inventory count in  % total</t>
  </si>
  <si>
    <t>Sales_Amount</t>
  </si>
  <si>
    <t>Month</t>
  </si>
  <si>
    <t>Forecast(Sales_Amount)</t>
  </si>
  <si>
    <t>Lower Confidence Bound(Sales_Amount)</t>
  </si>
  <si>
    <t>Upper Confidence Bound(Sales_Amount)</t>
  </si>
  <si>
    <t xml:space="preserve">* Inventory for Comedy genre movies are comparitively less </t>
  </si>
  <si>
    <t>Monthly sales (Query 1)</t>
  </si>
  <si>
    <t>Sales by category (Query 2)</t>
  </si>
  <si>
    <t>Inventory by Category (Query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</si>
</sst>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0" fillId="0" borderId="2" xfId="0" applyBorder="1"/>
    <xf numFmtId="0" fontId="3" fillId="3" borderId="2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6" borderId="0" xfId="0" applyFont="1" applyFill="1"/>
    <xf numFmtId="0" fontId="2" fillId="2" borderId="2" xfId="0" applyFont="1" applyFill="1" applyBorder="1" applyAlignment="1">
      <alignment horizontal="left" vertical="center" wrapText="1"/>
    </xf>
    <xf numFmtId="2" fontId="0" fillId="0" borderId="0" xfId="0" applyNumberFormat="1"/>
    <xf numFmtId="0" fontId="0" fillId="5" borderId="0" xfId="0" applyFill="1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[1]SalesForecast!$B$1</c:f>
              <c:strCache>
                <c:ptCount val="1"/>
                <c:pt idx="0">
                  <c:v>Sales_Amount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[1]SalesForecast!$B$2:$B$10</c:f>
              <c:numCache>
                <c:formatCode>General</c:formatCode>
                <c:ptCount val="9"/>
                <c:pt idx="0">
                  <c:v>514.17999999999995</c:v>
                </c:pt>
                <c:pt idx="1">
                  <c:v>1950.6</c:v>
                </c:pt>
                <c:pt idx="2">
                  <c:v>3387.0199999999995</c:v>
                </c:pt>
                <c:pt idx="3">
                  <c:v>4823.4399999999996</c:v>
                </c:pt>
                <c:pt idx="4">
                  <c:v>9629.89</c:v>
                </c:pt>
                <c:pt idx="5">
                  <c:v>28368.91</c:v>
                </c:pt>
                <c:pt idx="6">
                  <c:v>24070.14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A-4D90-9BA3-D3A8C4B02F0B}"/>
            </c:ext>
          </c:extLst>
        </c:ser>
        <c:ser>
          <c:idx val="1"/>
          <c:order val="1"/>
          <c:tx>
            <c:strRef>
              <c:f>[1]SalesForecast!$C$1</c:f>
              <c:strCache>
                <c:ptCount val="1"/>
                <c:pt idx="0">
                  <c:v>Forecast(Sales_Amount)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[1]SalesForecast!$A$2:$A$10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[1]SalesForecast!$C$2:$C$10</c:f>
              <c:numCache>
                <c:formatCode>General</c:formatCode>
                <c:ptCount val="9"/>
                <c:pt idx="6">
                  <c:v>24070.14</c:v>
                </c:pt>
                <c:pt idx="7">
                  <c:v>29692.191605762979</c:v>
                </c:pt>
                <c:pt idx="8">
                  <c:v>34313.286228755809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A-4D90-9BA3-D3A8C4B02F0B}"/>
            </c:ext>
          </c:extLst>
        </c:ser>
        <c:ser>
          <c:idx val="2"/>
          <c:order val="2"/>
          <c:tx>
            <c:strRef>
              <c:f>[1]SalesForecast!$D$1</c:f>
              <c:strCache>
                <c:ptCount val="1"/>
                <c:pt idx="0">
                  <c:v>Lower Confidence Bound(Sales_Amount)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[1]SalesForecast!$A$2:$A$10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[1]SalesForecast!$D$2:$D$10</c:f>
              <c:numCache>
                <c:formatCode>General</c:formatCode>
                <c:ptCount val="9"/>
                <c:pt idx="6">
                  <c:v>24070.14</c:v>
                </c:pt>
                <c:pt idx="7">
                  <c:v>18488.964870157106</c:v>
                </c:pt>
                <c:pt idx="8">
                  <c:v>22762.542139004909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4A-4D90-9BA3-D3A8C4B02F0B}"/>
            </c:ext>
          </c:extLst>
        </c:ser>
        <c:ser>
          <c:idx val="3"/>
          <c:order val="3"/>
          <c:tx>
            <c:strRef>
              <c:f>[1]SalesForecast!$E$1</c:f>
              <c:strCache>
                <c:ptCount val="1"/>
                <c:pt idx="0">
                  <c:v>Upper Confidence Bound(Sales_Amount)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[1]SalesForecast!$A$2:$A$10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[1]SalesForecast!$E$2:$E$10</c:f>
              <c:numCache>
                <c:formatCode>General</c:formatCode>
                <c:ptCount val="9"/>
                <c:pt idx="6">
                  <c:v>24070.14</c:v>
                </c:pt>
                <c:pt idx="7">
                  <c:v>40895.418341368852</c:v>
                </c:pt>
                <c:pt idx="8">
                  <c:v>45864.03031850671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4A-4D90-9BA3-D3A8C4B0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538544"/>
        <c:axId val="974539024"/>
      </c:lineChart>
      <c:catAx>
        <c:axId val="9745385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39024"/>
        <c:crosses val="autoZero"/>
        <c:auto val="1"/>
        <c:lblAlgn val="ctr"/>
        <c:lblOffset val="100"/>
        <c:noMultiLvlLbl val="0"/>
      </c:catAx>
      <c:valAx>
        <c:axId val="9745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3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 baseline="0">
                <a:solidFill>
                  <a:schemeClr val="bg2">
                    <a:lumMod val="50000"/>
                  </a:schemeClr>
                </a:solidFill>
              </a:rPr>
              <a:t>Top 5 Category comparison of sales amount and corresponding inventory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[1]Sheet2!$N$1</c:f>
              <c:strCache>
                <c:ptCount val="1"/>
                <c:pt idx="0">
                  <c:v>%total_sales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[1]Sheet2!$M$2:$M$6</c:f>
              <c:strCache>
                <c:ptCount val="5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</c:strCache>
            </c:strRef>
          </c:cat>
          <c:val>
            <c:numRef>
              <c:f>[1]Sheet2!$N$2:$N$6</c:f>
              <c:numCache>
                <c:formatCode>General</c:formatCode>
                <c:ptCount val="5"/>
                <c:pt idx="0">
                  <c:v>7.8838172427134685</c:v>
                </c:pt>
                <c:pt idx="1">
                  <c:v>7.0571469601771701</c:v>
                </c:pt>
                <c:pt idx="2">
                  <c:v>6.9077846429190277</c:v>
                </c:pt>
                <c:pt idx="3">
                  <c:v>6.8055542368576596</c:v>
                </c:pt>
                <c:pt idx="4">
                  <c:v>6.5031949412638772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9-44F4-874B-A18F6AE09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603568"/>
        <c:axId val="1011605488"/>
      </c:barChart>
      <c:lineChart>
        <c:grouping val="standard"/>
        <c:varyColors val="0"/>
        <c:ser>
          <c:idx val="1"/>
          <c:order val="1"/>
          <c:tx>
            <c:strRef>
              <c:f>[1]Sheet2!$O$1</c:f>
              <c:strCache>
                <c:ptCount val="1"/>
                <c:pt idx="0">
                  <c:v>%total_inv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[1]Sheet2!$M$2:$M$6</c:f>
              <c:strCache>
                <c:ptCount val="5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</c:strCache>
            </c:strRef>
          </c:cat>
          <c:val>
            <c:numRef>
              <c:f>[1]Sheet2!$O$2:$O$6</c:f>
              <c:numCache>
                <c:formatCode>General</c:formatCode>
                <c:ptCount val="5"/>
                <c:pt idx="0">
                  <c:v>7.5092774503383541</c:v>
                </c:pt>
                <c:pt idx="1">
                  <c:v>6.8107400130975773</c:v>
                </c:pt>
                <c:pt idx="2">
                  <c:v>7.3128137961143853</c:v>
                </c:pt>
                <c:pt idx="3">
                  <c:v>6.5487884741322864</c:v>
                </c:pt>
                <c:pt idx="4">
                  <c:v>5.8720803318052832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9-44F4-874B-A18F6AE09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603568"/>
        <c:axId val="1011605488"/>
      </c:lineChart>
      <c:catAx>
        <c:axId val="10116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05488"/>
        <c:crosses val="autoZero"/>
        <c:auto val="1"/>
        <c:lblAlgn val="ctr"/>
        <c:lblOffset val="100"/>
        <c:noMultiLvlLbl val="0"/>
      </c:catAx>
      <c:valAx>
        <c:axId val="10116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11</xdr:row>
      <xdr:rowOff>52387</xdr:rowOff>
    </xdr:from>
    <xdr:to>
      <xdr:col>11</xdr:col>
      <xdr:colOff>523875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05960-27FE-4915-95AA-918F11408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14</xdr:col>
      <xdr:colOff>47625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811952-ED5B-4168-AF87-0DF7B35C0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13</xdr:row>
      <xdr:rowOff>142875</xdr:rowOff>
    </xdr:from>
    <xdr:to>
      <xdr:col>13</xdr:col>
      <xdr:colOff>409575</xdr:colOff>
      <xdr:row>14</xdr:row>
      <xdr:rowOff>180975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5465E63-4F2B-BB10-6293-44D4C4F4C452}"/>
            </a:ext>
          </a:extLst>
        </xdr:cNvPr>
        <xdr:cNvCxnSpPr/>
      </xdr:nvCxnSpPr>
      <xdr:spPr>
        <a:xfrm flipH="1" flipV="1">
          <a:off x="9877425" y="3076575"/>
          <a:ext cx="276225" cy="2286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e92a205bdf12e9/Desktop/Adv.Dip%20in%20Data%20Analytics/module1_project/Sales_forecast.xlsx" TargetMode="External"/><Relationship Id="rId1" Type="http://schemas.openxmlformats.org/officeDocument/2006/relationships/externalLinkPath" Target="Sales_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alesForecast"/>
      <sheetName val="SalesAmount"/>
    </sheetNames>
    <sheetDataSet>
      <sheetData sheetId="0"/>
      <sheetData sheetId="1">
        <row r="1">
          <cell r="N1" t="str">
            <v>%total_sales</v>
          </cell>
          <cell r="O1" t="str">
            <v>%total_inv</v>
          </cell>
        </row>
        <row r="2">
          <cell r="M2" t="str">
            <v>Sports</v>
          </cell>
          <cell r="N2">
            <v>7.8838172427134685</v>
          </cell>
          <cell r="O2">
            <v>7.5092774503383541</v>
          </cell>
        </row>
        <row r="3">
          <cell r="M3" t="str">
            <v>Sci-Fi</v>
          </cell>
          <cell r="N3">
            <v>7.0571469601771701</v>
          </cell>
          <cell r="O3">
            <v>6.8107400130975773</v>
          </cell>
        </row>
        <row r="4">
          <cell r="M4" t="str">
            <v>Animation</v>
          </cell>
          <cell r="N4">
            <v>6.9077846429190277</v>
          </cell>
          <cell r="O4">
            <v>7.3128137961143853</v>
          </cell>
        </row>
        <row r="5">
          <cell r="M5" t="str">
            <v>Drama</v>
          </cell>
          <cell r="N5">
            <v>6.8055542368576596</v>
          </cell>
          <cell r="O5">
            <v>6.5487884741322864</v>
          </cell>
        </row>
        <row r="6">
          <cell r="M6" t="str">
            <v>Comedy</v>
          </cell>
          <cell r="N6">
            <v>6.5031949412638772</v>
          </cell>
          <cell r="O6">
            <v>5.8720803318052832</v>
          </cell>
        </row>
      </sheetData>
      <sheetData sheetId="2">
        <row r="1">
          <cell r="B1" t="str">
            <v>Sales_Amount</v>
          </cell>
          <cell r="C1" t="str">
            <v>Forecast(Sales_Amount)</v>
          </cell>
          <cell r="D1" t="str">
            <v>Lower Confidence Bound(Sales_Amount)</v>
          </cell>
          <cell r="E1" t="str">
            <v>Upper Confidence Bound(Sales_Amount)</v>
          </cell>
        </row>
        <row r="2">
          <cell r="A2">
            <v>2</v>
          </cell>
          <cell r="B2">
            <v>514.17999999999995</v>
          </cell>
        </row>
        <row r="3">
          <cell r="A3">
            <v>3</v>
          </cell>
          <cell r="B3">
            <v>1950.6</v>
          </cell>
        </row>
        <row r="4">
          <cell r="A4">
            <v>4</v>
          </cell>
          <cell r="B4">
            <v>3387.0199999999995</v>
          </cell>
        </row>
        <row r="5">
          <cell r="A5">
            <v>5</v>
          </cell>
          <cell r="B5">
            <v>4823.4399999999996</v>
          </cell>
        </row>
        <row r="6">
          <cell r="A6">
            <v>6</v>
          </cell>
          <cell r="B6">
            <v>9629.89</v>
          </cell>
        </row>
        <row r="7">
          <cell r="A7">
            <v>7</v>
          </cell>
          <cell r="B7">
            <v>28368.91</v>
          </cell>
        </row>
        <row r="8">
          <cell r="A8">
            <v>8</v>
          </cell>
          <cell r="B8">
            <v>24070.14</v>
          </cell>
          <cell r="C8">
            <v>24070.14</v>
          </cell>
          <cell r="D8">
            <v>24070.14</v>
          </cell>
          <cell r="E8">
            <v>24070.14</v>
          </cell>
        </row>
        <row r="9">
          <cell r="A9">
            <v>9</v>
          </cell>
          <cell r="C9">
            <v>29692.191605762979</v>
          </cell>
          <cell r="D9">
            <v>18488.964870157106</v>
          </cell>
          <cell r="E9">
            <v>40895.418341368852</v>
          </cell>
        </row>
        <row r="10">
          <cell r="A10">
            <v>10</v>
          </cell>
          <cell r="C10">
            <v>34313.286228755809</v>
          </cell>
          <cell r="D10">
            <v>22762.542139004909</v>
          </cell>
          <cell r="E10">
            <v>45864.03031850671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7DCCB-3722-4066-BA29-9FC6DE148E5A}" name="Table6" displayName="Table6" ref="A1:E10" totalsRowShown="0">
  <autoFilter ref="A1:E10" xr:uid="{FD37DCCB-3722-4066-BA29-9FC6DE148E5A}"/>
  <tableColumns count="5">
    <tableColumn id="1" xr3:uid="{DC266F67-C171-466C-838E-ACE8F1E44754}" name="Month"/>
    <tableColumn id="2" xr3:uid="{22CC026C-7EB1-48FD-9AC0-7182A04EDA15}" name="Sales_Amount"/>
    <tableColumn id="3" xr3:uid="{CA64D505-39EC-4ED3-BA73-89F620611BD1}" name="Forecast(Sales_Amount)"/>
    <tableColumn id="4" xr3:uid="{A5B6956B-AF81-42D8-9562-46A44921B42C}" name="Lower Confidence Bound(Sales_Amount)" dataDxfId="1"/>
    <tableColumn id="5" xr3:uid="{EFFD78D9-B5C0-4217-964E-31475D90CE3B}" name="Upper Confidence Bound(Sales_Amoun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DB97-60CE-4426-9F74-D21945EBC8CE}">
  <dimension ref="A1:C82"/>
  <sheetViews>
    <sheetView tabSelected="1" workbookViewId="0">
      <selection activeCell="H10" sqref="H10"/>
    </sheetView>
  </sheetViews>
  <sheetFormatPr defaultRowHeight="15" x14ac:dyDescent="0.25"/>
  <cols>
    <col min="1" max="1" width="13.5703125" bestFit="1" customWidth="1"/>
    <col min="2" max="2" width="9" bestFit="1" customWidth="1"/>
    <col min="5" max="5" width="9.140625" customWidth="1"/>
  </cols>
  <sheetData>
    <row r="1" spans="1:3" x14ac:dyDescent="0.25">
      <c r="A1" s="19" t="s">
        <v>31</v>
      </c>
      <c r="B1" s="19"/>
      <c r="C1" s="19"/>
    </row>
    <row r="2" spans="1:3" x14ac:dyDescent="0.25">
      <c r="A2" s="12" t="s">
        <v>25</v>
      </c>
      <c r="B2" s="12" t="s">
        <v>0</v>
      </c>
      <c r="C2" s="12" t="s">
        <v>26</v>
      </c>
    </row>
    <row r="3" spans="1:3" x14ac:dyDescent="0.25">
      <c r="A3" s="2">
        <v>55.8</v>
      </c>
      <c r="B3" s="2" t="s">
        <v>8</v>
      </c>
      <c r="C3" s="2">
        <v>2</v>
      </c>
    </row>
    <row r="4" spans="1:3" x14ac:dyDescent="0.25">
      <c r="A4" s="2">
        <v>371.13</v>
      </c>
      <c r="B4" s="2" t="s">
        <v>8</v>
      </c>
      <c r="C4" s="2">
        <v>5</v>
      </c>
    </row>
    <row r="5" spans="1:3" x14ac:dyDescent="0.25">
      <c r="A5" s="2">
        <v>681.4</v>
      </c>
      <c r="B5" s="2" t="s">
        <v>8</v>
      </c>
      <c r="C5" s="2">
        <v>6</v>
      </c>
    </row>
    <row r="6" spans="1:3" x14ac:dyDescent="0.25">
      <c r="A6" s="2">
        <v>1804.36</v>
      </c>
      <c r="B6" s="2" t="s">
        <v>8</v>
      </c>
      <c r="C6" s="2">
        <v>7</v>
      </c>
    </row>
    <row r="7" spans="1:3" x14ac:dyDescent="0.25">
      <c r="A7" s="2">
        <v>1463.16</v>
      </c>
      <c r="B7" s="2" t="s">
        <v>8</v>
      </c>
      <c r="C7" s="2">
        <v>8</v>
      </c>
    </row>
    <row r="8" spans="1:3" ht="27" x14ac:dyDescent="0.25">
      <c r="A8" s="2">
        <v>66.75</v>
      </c>
      <c r="B8" s="2" t="s">
        <v>5</v>
      </c>
      <c r="C8" s="2">
        <v>2</v>
      </c>
    </row>
    <row r="9" spans="1:3" ht="27" x14ac:dyDescent="0.25">
      <c r="A9" s="2">
        <v>289.26</v>
      </c>
      <c r="B9" s="2" t="s">
        <v>5</v>
      </c>
      <c r="C9" s="2">
        <v>5</v>
      </c>
    </row>
    <row r="10" spans="1:3" ht="27" x14ac:dyDescent="0.25">
      <c r="A10" s="2">
        <v>691.26</v>
      </c>
      <c r="B10" s="2" t="s">
        <v>5</v>
      </c>
      <c r="C10" s="2">
        <v>6</v>
      </c>
    </row>
    <row r="11" spans="1:3" ht="27" x14ac:dyDescent="0.25">
      <c r="A11" s="2">
        <v>1954.11</v>
      </c>
      <c r="B11" s="2" t="s">
        <v>5</v>
      </c>
      <c r="C11" s="2">
        <v>7</v>
      </c>
    </row>
    <row r="12" spans="1:3" ht="27" x14ac:dyDescent="0.25">
      <c r="A12" s="2">
        <v>1654.92</v>
      </c>
      <c r="B12" s="2" t="s">
        <v>5</v>
      </c>
      <c r="C12" s="2">
        <v>8</v>
      </c>
    </row>
    <row r="13" spans="1:3" ht="27" x14ac:dyDescent="0.25">
      <c r="A13" s="2">
        <v>15.94</v>
      </c>
      <c r="B13" s="2" t="s">
        <v>15</v>
      </c>
      <c r="C13" s="2">
        <v>2</v>
      </c>
    </row>
    <row r="14" spans="1:3" ht="27" x14ac:dyDescent="0.25">
      <c r="A14" s="2">
        <v>288.29000000000002</v>
      </c>
      <c r="B14" s="2" t="s">
        <v>15</v>
      </c>
      <c r="C14" s="2">
        <v>5</v>
      </c>
    </row>
    <row r="15" spans="1:3" ht="27" x14ac:dyDescent="0.25">
      <c r="A15" s="2">
        <v>495.7</v>
      </c>
      <c r="B15" s="2" t="s">
        <v>15</v>
      </c>
      <c r="C15" s="2">
        <v>6</v>
      </c>
    </row>
    <row r="16" spans="1:3" ht="27" x14ac:dyDescent="0.25">
      <c r="A16" s="2">
        <v>1539.94</v>
      </c>
      <c r="B16" s="2" t="s">
        <v>15</v>
      </c>
      <c r="C16" s="2">
        <v>7</v>
      </c>
    </row>
    <row r="17" spans="1:3" ht="27" x14ac:dyDescent="0.25">
      <c r="A17" s="2">
        <v>1315.68</v>
      </c>
      <c r="B17" s="2" t="s">
        <v>15</v>
      </c>
      <c r="C17" s="2">
        <v>8</v>
      </c>
    </row>
    <row r="18" spans="1:3" ht="27" x14ac:dyDescent="0.25">
      <c r="A18" s="2">
        <v>24.89</v>
      </c>
      <c r="B18" s="2" t="s">
        <v>16</v>
      </c>
      <c r="C18" s="2">
        <v>2</v>
      </c>
    </row>
    <row r="19" spans="1:3" ht="27" x14ac:dyDescent="0.25">
      <c r="A19" s="2">
        <v>227.38</v>
      </c>
      <c r="B19" s="2" t="s">
        <v>16</v>
      </c>
      <c r="C19" s="2">
        <v>5</v>
      </c>
    </row>
    <row r="20" spans="1:3" ht="27" x14ac:dyDescent="0.25">
      <c r="A20" s="2">
        <v>518.64</v>
      </c>
      <c r="B20" s="2" t="s">
        <v>16</v>
      </c>
      <c r="C20" s="2">
        <v>6</v>
      </c>
    </row>
    <row r="21" spans="1:3" ht="27" x14ac:dyDescent="0.25">
      <c r="A21" s="2">
        <v>1497.16</v>
      </c>
      <c r="B21" s="2" t="s">
        <v>16</v>
      </c>
      <c r="C21" s="2">
        <v>7</v>
      </c>
    </row>
    <row r="22" spans="1:3" ht="27" x14ac:dyDescent="0.25">
      <c r="A22" s="2">
        <v>1371.52</v>
      </c>
      <c r="B22" s="2" t="s">
        <v>16</v>
      </c>
      <c r="C22" s="2">
        <v>8</v>
      </c>
    </row>
    <row r="23" spans="1:3" x14ac:dyDescent="0.25">
      <c r="A23" s="2">
        <v>25.9</v>
      </c>
      <c r="B23" s="2" t="s">
        <v>7</v>
      </c>
      <c r="C23" s="2">
        <v>2</v>
      </c>
    </row>
    <row r="24" spans="1:3" x14ac:dyDescent="0.25">
      <c r="A24" s="2">
        <v>295.27999999999997</v>
      </c>
      <c r="B24" s="2" t="s">
        <v>7</v>
      </c>
      <c r="C24" s="2">
        <v>5</v>
      </c>
    </row>
    <row r="25" spans="1:3" x14ac:dyDescent="0.25">
      <c r="A25" s="2">
        <v>639.65</v>
      </c>
      <c r="B25" s="2" t="s">
        <v>7</v>
      </c>
      <c r="C25" s="2">
        <v>6</v>
      </c>
    </row>
    <row r="26" spans="1:3" x14ac:dyDescent="0.25">
      <c r="A26" s="2">
        <v>1829.17</v>
      </c>
      <c r="B26" s="2" t="s">
        <v>7</v>
      </c>
      <c r="C26" s="2">
        <v>7</v>
      </c>
    </row>
    <row r="27" spans="1:3" x14ac:dyDescent="0.25">
      <c r="A27" s="2">
        <v>1593.58</v>
      </c>
      <c r="B27" s="2" t="s">
        <v>7</v>
      </c>
      <c r="C27" s="2">
        <v>8</v>
      </c>
    </row>
    <row r="28" spans="1:3" ht="27" x14ac:dyDescent="0.25">
      <c r="A28" s="2">
        <v>7.96</v>
      </c>
      <c r="B28" s="2" t="s">
        <v>13</v>
      </c>
      <c r="C28" s="2">
        <v>2</v>
      </c>
    </row>
    <row r="29" spans="1:3" ht="27" x14ac:dyDescent="0.25">
      <c r="A29" s="2">
        <v>353.14</v>
      </c>
      <c r="B29" s="2" t="s">
        <v>13</v>
      </c>
      <c r="C29" s="2">
        <v>5</v>
      </c>
    </row>
    <row r="30" spans="1:3" ht="27" x14ac:dyDescent="0.25">
      <c r="A30" s="2">
        <v>612.4</v>
      </c>
      <c r="B30" s="2" t="s">
        <v>13</v>
      </c>
      <c r="C30" s="2">
        <v>6</v>
      </c>
    </row>
    <row r="31" spans="1:3" ht="27" x14ac:dyDescent="0.25">
      <c r="A31" s="2">
        <v>1726.71</v>
      </c>
      <c r="B31" s="2" t="s">
        <v>13</v>
      </c>
      <c r="C31" s="2">
        <v>7</v>
      </c>
    </row>
    <row r="32" spans="1:3" ht="27" x14ac:dyDescent="0.25">
      <c r="A32" s="2">
        <v>1517.31</v>
      </c>
      <c r="B32" s="2" t="s">
        <v>13</v>
      </c>
      <c r="C32" s="2">
        <v>8</v>
      </c>
    </row>
    <row r="33" spans="1:3" x14ac:dyDescent="0.25">
      <c r="A33" s="2">
        <v>29.92</v>
      </c>
      <c r="B33" s="2" t="s">
        <v>6</v>
      </c>
      <c r="C33" s="2">
        <v>2</v>
      </c>
    </row>
    <row r="34" spans="1:3" x14ac:dyDescent="0.25">
      <c r="A34" s="2">
        <v>370.15</v>
      </c>
      <c r="B34" s="2" t="s">
        <v>6</v>
      </c>
      <c r="C34" s="2">
        <v>5</v>
      </c>
    </row>
    <row r="35" spans="1:3" x14ac:dyDescent="0.25">
      <c r="A35" s="2">
        <v>682.48</v>
      </c>
      <c r="B35" s="2" t="s">
        <v>6</v>
      </c>
      <c r="C35" s="2">
        <v>6</v>
      </c>
    </row>
    <row r="36" spans="1:3" x14ac:dyDescent="0.25">
      <c r="A36" s="2">
        <v>1978.37</v>
      </c>
      <c r="B36" s="2" t="s">
        <v>6</v>
      </c>
      <c r="C36" s="2">
        <v>7</v>
      </c>
    </row>
    <row r="37" spans="1:3" x14ac:dyDescent="0.25">
      <c r="A37" s="2">
        <v>1526.47</v>
      </c>
      <c r="B37" s="2" t="s">
        <v>6</v>
      </c>
      <c r="C37" s="2">
        <v>8</v>
      </c>
    </row>
    <row r="38" spans="1:3" x14ac:dyDescent="0.25">
      <c r="A38" s="2">
        <v>29.9</v>
      </c>
      <c r="B38" s="2" t="s">
        <v>12</v>
      </c>
      <c r="C38" s="2">
        <v>2</v>
      </c>
    </row>
    <row r="39" spans="1:3" x14ac:dyDescent="0.25">
      <c r="A39" s="2">
        <v>304.14999999999998</v>
      </c>
      <c r="B39" s="2" t="s">
        <v>12</v>
      </c>
      <c r="C39" s="2">
        <v>5</v>
      </c>
    </row>
    <row r="40" spans="1:3" x14ac:dyDescent="0.25">
      <c r="A40" s="2">
        <v>577.46</v>
      </c>
      <c r="B40" s="2" t="s">
        <v>12</v>
      </c>
      <c r="C40" s="2">
        <v>6</v>
      </c>
    </row>
    <row r="41" spans="1:3" x14ac:dyDescent="0.25">
      <c r="A41" s="2">
        <v>1840.4</v>
      </c>
      <c r="B41" s="2" t="s">
        <v>12</v>
      </c>
      <c r="C41" s="2">
        <v>7</v>
      </c>
    </row>
    <row r="42" spans="1:3" x14ac:dyDescent="0.25">
      <c r="A42" s="2">
        <v>1474.16</v>
      </c>
      <c r="B42" s="2" t="s">
        <v>12</v>
      </c>
      <c r="C42" s="2">
        <v>8</v>
      </c>
    </row>
    <row r="43" spans="1:3" x14ac:dyDescent="0.25">
      <c r="A43" s="2">
        <v>24.89</v>
      </c>
      <c r="B43" s="2" t="s">
        <v>11</v>
      </c>
      <c r="C43" s="2">
        <v>2</v>
      </c>
    </row>
    <row r="44" spans="1:3" x14ac:dyDescent="0.25">
      <c r="A44" s="2">
        <v>296.29000000000002</v>
      </c>
      <c r="B44" s="2" t="s">
        <v>11</v>
      </c>
      <c r="C44" s="2">
        <v>5</v>
      </c>
    </row>
    <row r="45" spans="1:3" x14ac:dyDescent="0.25">
      <c r="A45" s="2">
        <v>585.58000000000004</v>
      </c>
      <c r="B45" s="2" t="s">
        <v>11</v>
      </c>
      <c r="C45" s="2">
        <v>6</v>
      </c>
    </row>
    <row r="46" spans="1:3" x14ac:dyDescent="0.25">
      <c r="A46" s="2">
        <v>1764.68</v>
      </c>
      <c r="B46" s="2" t="s">
        <v>11</v>
      </c>
      <c r="C46" s="2">
        <v>7</v>
      </c>
    </row>
    <row r="47" spans="1:3" x14ac:dyDescent="0.25">
      <c r="A47" s="2">
        <v>1599.23</v>
      </c>
      <c r="B47" s="2" t="s">
        <v>11</v>
      </c>
      <c r="C47" s="2">
        <v>8</v>
      </c>
    </row>
    <row r="48" spans="1:3" x14ac:dyDescent="0.25">
      <c r="A48" s="2">
        <v>39.880000000000003</v>
      </c>
      <c r="B48" s="2" t="s">
        <v>10</v>
      </c>
      <c r="C48" s="2">
        <v>2</v>
      </c>
    </row>
    <row r="49" spans="1:3" x14ac:dyDescent="0.25">
      <c r="A49" s="2">
        <v>293.31</v>
      </c>
      <c r="B49" s="2" t="s">
        <v>10</v>
      </c>
      <c r="C49" s="2">
        <v>5</v>
      </c>
    </row>
    <row r="50" spans="1:3" x14ac:dyDescent="0.25">
      <c r="A50" s="2">
        <v>628.58000000000004</v>
      </c>
      <c r="B50" s="2" t="s">
        <v>10</v>
      </c>
      <c r="C50" s="2">
        <v>6</v>
      </c>
    </row>
    <row r="51" spans="1:3" x14ac:dyDescent="0.25">
      <c r="A51" s="2">
        <v>1811.08</v>
      </c>
      <c r="B51" s="2" t="s">
        <v>10</v>
      </c>
      <c r="C51" s="2">
        <v>7</v>
      </c>
    </row>
    <row r="52" spans="1:3" x14ac:dyDescent="0.25">
      <c r="A52" s="2">
        <v>1508.48</v>
      </c>
      <c r="B52" s="2" t="s">
        <v>10</v>
      </c>
      <c r="C52" s="2">
        <v>8</v>
      </c>
    </row>
    <row r="53" spans="1:3" x14ac:dyDescent="0.25">
      <c r="A53" s="2">
        <v>33.880000000000003</v>
      </c>
      <c r="B53" s="2" t="s">
        <v>14</v>
      </c>
      <c r="C53" s="2">
        <v>2</v>
      </c>
    </row>
    <row r="54" spans="1:3" x14ac:dyDescent="0.25">
      <c r="A54" s="2">
        <v>243.47</v>
      </c>
      <c r="B54" s="2" t="s">
        <v>14</v>
      </c>
      <c r="C54" s="2">
        <v>5</v>
      </c>
    </row>
    <row r="55" spans="1:3" x14ac:dyDescent="0.25">
      <c r="A55" s="2">
        <v>508.84</v>
      </c>
      <c r="B55" s="2" t="s">
        <v>14</v>
      </c>
      <c r="C55" s="2">
        <v>6</v>
      </c>
    </row>
    <row r="56" spans="1:3" x14ac:dyDescent="0.25">
      <c r="A56" s="2">
        <v>1594.34</v>
      </c>
      <c r="B56" s="2" t="s">
        <v>14</v>
      </c>
      <c r="C56" s="2">
        <v>7</v>
      </c>
    </row>
    <row r="57" spans="1:3" x14ac:dyDescent="0.25">
      <c r="A57" s="2">
        <v>1342.01</v>
      </c>
      <c r="B57" s="2" t="s">
        <v>14</v>
      </c>
      <c r="C57" s="2">
        <v>8</v>
      </c>
    </row>
    <row r="58" spans="1:3" x14ac:dyDescent="0.25">
      <c r="A58" s="2">
        <v>24.91</v>
      </c>
      <c r="B58" s="2" t="s">
        <v>18</v>
      </c>
      <c r="C58" s="2">
        <v>2</v>
      </c>
    </row>
    <row r="59" spans="1:3" x14ac:dyDescent="0.25">
      <c r="A59" s="2">
        <v>268.39</v>
      </c>
      <c r="B59" s="2" t="s">
        <v>18</v>
      </c>
      <c r="C59" s="2">
        <v>5</v>
      </c>
    </row>
    <row r="60" spans="1:3" x14ac:dyDescent="0.25">
      <c r="A60" s="2">
        <v>526.66999999999996</v>
      </c>
      <c r="B60" s="2" t="s">
        <v>18</v>
      </c>
      <c r="C60" s="2">
        <v>6</v>
      </c>
    </row>
    <row r="61" spans="1:3" x14ac:dyDescent="0.25">
      <c r="A61" s="2">
        <v>1434.52</v>
      </c>
      <c r="B61" s="2" t="s">
        <v>18</v>
      </c>
      <c r="C61" s="2">
        <v>7</v>
      </c>
    </row>
    <row r="62" spans="1:3" x14ac:dyDescent="0.25">
      <c r="A62" s="2">
        <v>1163.23</v>
      </c>
      <c r="B62" s="2" t="s">
        <v>18</v>
      </c>
      <c r="C62" s="2">
        <v>8</v>
      </c>
    </row>
    <row r="63" spans="1:3" x14ac:dyDescent="0.25">
      <c r="A63" s="2">
        <v>30.89</v>
      </c>
      <c r="B63" s="2" t="s">
        <v>9</v>
      </c>
      <c r="C63" s="2">
        <v>2</v>
      </c>
    </row>
    <row r="64" spans="1:3" x14ac:dyDescent="0.25">
      <c r="A64" s="2">
        <v>302.39999999999998</v>
      </c>
      <c r="B64" s="2" t="s">
        <v>9</v>
      </c>
      <c r="C64" s="2">
        <v>5</v>
      </c>
    </row>
    <row r="65" spans="1:3" x14ac:dyDescent="0.25">
      <c r="A65" s="2">
        <v>565.67999999999995</v>
      </c>
      <c r="B65" s="2" t="s">
        <v>9</v>
      </c>
      <c r="C65" s="2">
        <v>6</v>
      </c>
    </row>
    <row r="66" spans="1:3" x14ac:dyDescent="0.25">
      <c r="A66" s="2">
        <v>1826.11</v>
      </c>
      <c r="B66" s="2" t="s">
        <v>9</v>
      </c>
      <c r="C66" s="2">
        <v>7</v>
      </c>
    </row>
    <row r="67" spans="1:3" x14ac:dyDescent="0.25">
      <c r="A67" s="2">
        <v>1626.54</v>
      </c>
      <c r="B67" s="2" t="s">
        <v>9</v>
      </c>
      <c r="C67" s="2">
        <v>8</v>
      </c>
    </row>
    <row r="68" spans="1:3" x14ac:dyDescent="0.25">
      <c r="A68" s="2">
        <v>30.91</v>
      </c>
      <c r="B68" s="2" t="s">
        <v>4</v>
      </c>
      <c r="C68" s="2">
        <v>2</v>
      </c>
    </row>
    <row r="69" spans="1:3" x14ac:dyDescent="0.25">
      <c r="A69" s="2">
        <v>320.16000000000003</v>
      </c>
      <c r="B69" s="2" t="s">
        <v>4</v>
      </c>
      <c r="C69" s="2">
        <v>5</v>
      </c>
    </row>
    <row r="70" spans="1:3" x14ac:dyDescent="0.25">
      <c r="A70" s="2">
        <v>685.38</v>
      </c>
      <c r="B70" s="2" t="s">
        <v>4</v>
      </c>
      <c r="C70" s="2">
        <v>6</v>
      </c>
    </row>
    <row r="71" spans="1:3" x14ac:dyDescent="0.25">
      <c r="A71" s="2">
        <v>2013.38</v>
      </c>
      <c r="B71" s="2" t="s">
        <v>4</v>
      </c>
      <c r="C71" s="2">
        <v>7</v>
      </c>
    </row>
    <row r="72" spans="1:3" x14ac:dyDescent="0.25">
      <c r="A72" s="2">
        <v>1707.15</v>
      </c>
      <c r="B72" s="2" t="s">
        <v>4</v>
      </c>
      <c r="C72" s="2">
        <v>8</v>
      </c>
    </row>
    <row r="73" spans="1:3" x14ac:dyDescent="0.25">
      <c r="A73" s="2">
        <v>40.85</v>
      </c>
      <c r="B73" s="2" t="s">
        <v>3</v>
      </c>
      <c r="C73" s="2">
        <v>2</v>
      </c>
    </row>
    <row r="74" spans="1:3" x14ac:dyDescent="0.25">
      <c r="A74" s="2">
        <v>333.24</v>
      </c>
      <c r="B74" s="2" t="s">
        <v>3</v>
      </c>
      <c r="C74" s="2">
        <v>5</v>
      </c>
    </row>
    <row r="75" spans="1:3" x14ac:dyDescent="0.25">
      <c r="A75" s="2">
        <v>696.41</v>
      </c>
      <c r="B75" s="2" t="s">
        <v>3</v>
      </c>
      <c r="C75" s="2">
        <v>6</v>
      </c>
    </row>
    <row r="76" spans="1:3" x14ac:dyDescent="0.25">
      <c r="A76" s="2">
        <v>2281.0300000000002</v>
      </c>
      <c r="B76" s="2" t="s">
        <v>3</v>
      </c>
      <c r="C76" s="2">
        <v>7</v>
      </c>
    </row>
    <row r="77" spans="1:3" x14ac:dyDescent="0.25">
      <c r="A77" s="2">
        <v>1962.68</v>
      </c>
      <c r="B77" s="2" t="s">
        <v>3</v>
      </c>
      <c r="C77" s="2">
        <v>8</v>
      </c>
    </row>
    <row r="78" spans="1:3" x14ac:dyDescent="0.25">
      <c r="A78" s="2">
        <v>30.91</v>
      </c>
      <c r="B78" s="2" t="s">
        <v>17</v>
      </c>
      <c r="C78" s="2">
        <v>2</v>
      </c>
    </row>
    <row r="79" spans="1:3" x14ac:dyDescent="0.25">
      <c r="A79" s="2">
        <v>267.39999999999998</v>
      </c>
      <c r="B79" s="2" t="s">
        <v>17</v>
      </c>
      <c r="C79" s="2">
        <v>5</v>
      </c>
    </row>
    <row r="80" spans="1:3" x14ac:dyDescent="0.25">
      <c r="A80" s="2">
        <v>533.76</v>
      </c>
      <c r="B80" s="2" t="s">
        <v>17</v>
      </c>
      <c r="C80" s="2">
        <v>6</v>
      </c>
    </row>
    <row r="81" spans="1:3" x14ac:dyDescent="0.25">
      <c r="A81" s="2">
        <v>1473.55</v>
      </c>
      <c r="B81" s="2" t="s">
        <v>17</v>
      </c>
      <c r="C81" s="2">
        <v>7</v>
      </c>
    </row>
    <row r="82" spans="1:3" x14ac:dyDescent="0.25">
      <c r="A82" s="2">
        <v>1244.02</v>
      </c>
      <c r="B82" s="2" t="s">
        <v>17</v>
      </c>
      <c r="C82" s="2">
        <v>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803E-6D37-4464-8DD5-B4EF1ABC6AD3}">
  <dimension ref="A1:E10"/>
  <sheetViews>
    <sheetView topLeftCell="A10" workbookViewId="0">
      <selection activeCell="D16" sqref="D16"/>
    </sheetView>
  </sheetViews>
  <sheetFormatPr defaultRowHeight="15" x14ac:dyDescent="0.25"/>
  <cols>
    <col min="2" max="2" width="15.85546875" customWidth="1"/>
    <col min="3" max="3" width="24.7109375" customWidth="1"/>
    <col min="4" max="4" width="39.42578125" customWidth="1"/>
    <col min="5" max="5" width="39.5703125" customWidth="1"/>
  </cols>
  <sheetData>
    <row r="1" spans="1:5" x14ac:dyDescent="0.25">
      <c r="A1" t="s">
        <v>26</v>
      </c>
      <c r="B1" t="s">
        <v>25</v>
      </c>
      <c r="C1" t="s">
        <v>27</v>
      </c>
      <c r="D1" t="s">
        <v>28</v>
      </c>
      <c r="E1" t="s">
        <v>29</v>
      </c>
    </row>
    <row r="2" spans="1:5" x14ac:dyDescent="0.25">
      <c r="A2">
        <v>2</v>
      </c>
      <c r="B2">
        <v>514.17999999999995</v>
      </c>
    </row>
    <row r="3" spans="1:5" x14ac:dyDescent="0.25">
      <c r="A3">
        <v>3</v>
      </c>
      <c r="B3">
        <v>1950.6</v>
      </c>
    </row>
    <row r="4" spans="1:5" x14ac:dyDescent="0.25">
      <c r="A4">
        <v>4</v>
      </c>
      <c r="B4">
        <v>3387.0199999999995</v>
      </c>
    </row>
    <row r="5" spans="1:5" x14ac:dyDescent="0.25">
      <c r="A5">
        <v>5</v>
      </c>
      <c r="B5">
        <v>4823.4399999999996</v>
      </c>
    </row>
    <row r="6" spans="1:5" x14ac:dyDescent="0.25">
      <c r="A6">
        <v>6</v>
      </c>
      <c r="B6">
        <v>9629.89</v>
      </c>
    </row>
    <row r="7" spans="1:5" x14ac:dyDescent="0.25">
      <c r="A7">
        <v>7</v>
      </c>
      <c r="B7">
        <v>28368.91</v>
      </c>
    </row>
    <row r="8" spans="1:5" x14ac:dyDescent="0.25">
      <c r="A8">
        <v>8</v>
      </c>
      <c r="B8">
        <v>24070.14</v>
      </c>
      <c r="C8">
        <v>24070.14</v>
      </c>
      <c r="D8" s="14">
        <v>24070.14</v>
      </c>
      <c r="E8" s="14">
        <v>24070.14</v>
      </c>
    </row>
    <row r="9" spans="1:5" x14ac:dyDescent="0.25">
      <c r="A9">
        <v>9</v>
      </c>
      <c r="C9">
        <f>_xlfn.FORECAST.ETS(A9,$B$2:$B$8,$A$2:$A$8,1,1)</f>
        <v>29692.191605762979</v>
      </c>
      <c r="D9" s="14">
        <f>C9-_xlfn.FORECAST.ETS.CONFINT(A9,$B$2:$B$8,$A$2:$A$8,0.95,1,1)</f>
        <v>18488.964870157106</v>
      </c>
      <c r="E9" s="14">
        <f>C9+_xlfn.FORECAST.ETS.CONFINT(A9,$B$2:$B$8,$A$2:$A$8,0.95,1,1)</f>
        <v>40895.418341368852</v>
      </c>
    </row>
    <row r="10" spans="1:5" x14ac:dyDescent="0.25">
      <c r="A10">
        <v>10</v>
      </c>
      <c r="C10">
        <f>_xlfn.FORECAST.ETS(A10,$B$2:$B$8,$A$2:$A$8,1,1)</f>
        <v>34313.286228755809</v>
      </c>
      <c r="D10" s="14">
        <f>C10-_xlfn.FORECAST.ETS.CONFINT(A10,$B$2:$B$8,$A$2:$A$8,0.95,1,1)</f>
        <v>22762.542139004909</v>
      </c>
      <c r="E10" s="14">
        <f>C10+_xlfn.FORECAST.ETS.CONFINT(A10,$B$2:$B$8,$A$2:$A$8,0.95,1,1)</f>
        <v>45864.03031850671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7571-56E2-4691-8B91-C915DE316FD8}">
  <dimension ref="A1:M23"/>
  <sheetViews>
    <sheetView workbookViewId="0">
      <selection activeCell="E26" sqref="E26"/>
    </sheetView>
  </sheetViews>
  <sheetFormatPr defaultRowHeight="15" x14ac:dyDescent="0.25"/>
  <cols>
    <col min="1" max="1" width="16.140625" bestFit="1" customWidth="1"/>
    <col min="3" max="3" width="11.140625" bestFit="1" customWidth="1"/>
    <col min="5" max="5" width="14.5703125" customWidth="1"/>
    <col min="7" max="7" width="9" bestFit="1" customWidth="1"/>
    <col min="9" max="9" width="9.140625" customWidth="1"/>
    <col min="13" max="13" width="22.140625" customWidth="1"/>
    <col min="16" max="16" width="55.7109375" customWidth="1"/>
  </cols>
  <sheetData>
    <row r="1" spans="1:13" x14ac:dyDescent="0.25">
      <c r="A1" s="17" t="s">
        <v>32</v>
      </c>
      <c r="B1" s="17"/>
      <c r="C1" s="17"/>
      <c r="E1" s="18" t="s">
        <v>33</v>
      </c>
      <c r="F1" s="16"/>
      <c r="G1" s="16"/>
      <c r="I1" s="18" t="s">
        <v>24</v>
      </c>
      <c r="J1" s="16"/>
      <c r="K1" s="16"/>
      <c r="L1" s="16"/>
      <c r="M1" s="16"/>
    </row>
    <row r="2" spans="1:13" x14ac:dyDescent="0.25">
      <c r="A2" s="12" t="s">
        <v>0</v>
      </c>
      <c r="B2" s="12" t="s">
        <v>1</v>
      </c>
      <c r="C2" s="12" t="s">
        <v>2</v>
      </c>
      <c r="E2" s="12" t="s">
        <v>0</v>
      </c>
      <c r="F2" s="12" t="s">
        <v>20</v>
      </c>
      <c r="G2" s="12" t="s">
        <v>21</v>
      </c>
      <c r="I2" s="12" t="s">
        <v>0</v>
      </c>
      <c r="J2" s="12" t="s">
        <v>22</v>
      </c>
      <c r="K2" s="12" t="s">
        <v>23</v>
      </c>
    </row>
    <row r="3" spans="1:13" x14ac:dyDescent="0.25">
      <c r="A3" s="3" t="s">
        <v>3</v>
      </c>
      <c r="B3" s="3">
        <v>5314.21</v>
      </c>
      <c r="C3" s="3">
        <v>1</v>
      </c>
      <c r="E3" s="4" t="s">
        <v>3</v>
      </c>
      <c r="F3" s="4">
        <v>344</v>
      </c>
      <c r="G3" s="4">
        <v>1</v>
      </c>
      <c r="I3" s="13" t="s">
        <v>3</v>
      </c>
      <c r="J3" s="9">
        <v>7.8838172427134685</v>
      </c>
      <c r="K3" s="9">
        <v>7.5092774503383541</v>
      </c>
    </row>
    <row r="4" spans="1:13" x14ac:dyDescent="0.25">
      <c r="A4" s="3" t="s">
        <v>4</v>
      </c>
      <c r="B4" s="3">
        <v>4756.9799999999996</v>
      </c>
      <c r="C4" s="3">
        <v>2</v>
      </c>
      <c r="E4" s="4" t="s">
        <v>5</v>
      </c>
      <c r="F4" s="4">
        <v>335</v>
      </c>
      <c r="G4" s="4">
        <v>2</v>
      </c>
      <c r="I4" s="13" t="s">
        <v>4</v>
      </c>
      <c r="J4" s="9">
        <v>7.0571469601771701</v>
      </c>
      <c r="K4" s="9">
        <v>6.8107400130975773</v>
      </c>
    </row>
    <row r="5" spans="1:13" ht="27" x14ac:dyDescent="0.25">
      <c r="A5" s="3" t="s">
        <v>5</v>
      </c>
      <c r="B5" s="3">
        <v>4656.3</v>
      </c>
      <c r="C5" s="3">
        <v>3</v>
      </c>
      <c r="E5" s="4" t="s">
        <v>4</v>
      </c>
      <c r="F5" s="4">
        <v>312</v>
      </c>
      <c r="G5" s="4">
        <v>3</v>
      </c>
      <c r="I5" s="13" t="s">
        <v>5</v>
      </c>
      <c r="J5" s="9">
        <v>6.9077846429190277</v>
      </c>
      <c r="K5" s="9">
        <v>7.3128137961143853</v>
      </c>
    </row>
    <row r="6" spans="1:13" x14ac:dyDescent="0.25">
      <c r="A6" s="3" t="s">
        <v>6</v>
      </c>
      <c r="B6" s="3">
        <v>4587.3900000000003</v>
      </c>
      <c r="C6" s="3">
        <v>4</v>
      </c>
      <c r="E6" s="4" t="s">
        <v>8</v>
      </c>
      <c r="F6" s="4">
        <v>312</v>
      </c>
      <c r="G6" s="4">
        <v>3</v>
      </c>
      <c r="I6" s="13" t="s">
        <v>6</v>
      </c>
      <c r="J6" s="9">
        <v>6.8055542368576596</v>
      </c>
      <c r="K6" s="9">
        <v>6.5487884741322864</v>
      </c>
    </row>
    <row r="7" spans="1:13" x14ac:dyDescent="0.25">
      <c r="A7" s="3" t="s">
        <v>7</v>
      </c>
      <c r="B7" s="3">
        <v>4383.58</v>
      </c>
      <c r="C7" s="3">
        <v>5</v>
      </c>
      <c r="E7" s="1" t="s">
        <v>12</v>
      </c>
      <c r="F7" s="1">
        <v>310</v>
      </c>
      <c r="G7" s="2">
        <v>4</v>
      </c>
      <c r="I7" s="13" t="s">
        <v>7</v>
      </c>
      <c r="J7" s="9">
        <v>6.5031949412638772</v>
      </c>
      <c r="K7" s="9">
        <v>5.8720803318052832</v>
      </c>
    </row>
    <row r="8" spans="1:13" x14ac:dyDescent="0.25">
      <c r="A8" s="1" t="s">
        <v>8</v>
      </c>
      <c r="B8" s="1">
        <v>4375.8500000000004</v>
      </c>
      <c r="C8" s="1">
        <v>6</v>
      </c>
      <c r="E8" s="1" t="s">
        <v>11</v>
      </c>
      <c r="F8" s="1">
        <v>300</v>
      </c>
      <c r="G8" s="2">
        <v>5</v>
      </c>
    </row>
    <row r="9" spans="1:13" x14ac:dyDescent="0.25">
      <c r="A9" s="1" t="s">
        <v>9</v>
      </c>
      <c r="B9" s="1">
        <v>4351.62</v>
      </c>
      <c r="C9" s="1">
        <v>7</v>
      </c>
      <c r="E9" s="1" t="s">
        <v>6</v>
      </c>
      <c r="F9" s="1">
        <v>300</v>
      </c>
      <c r="G9" s="2">
        <v>5</v>
      </c>
    </row>
    <row r="10" spans="1:13" ht="27" x14ac:dyDescent="0.25">
      <c r="A10" s="1" t="s">
        <v>10</v>
      </c>
      <c r="B10" s="1">
        <v>4281.33</v>
      </c>
      <c r="C10" s="1">
        <v>8</v>
      </c>
      <c r="E10" s="1" t="s">
        <v>13</v>
      </c>
      <c r="F10" s="1">
        <v>294</v>
      </c>
      <c r="G10" s="2">
        <v>6</v>
      </c>
    </row>
    <row r="11" spans="1:13" x14ac:dyDescent="0.25">
      <c r="A11" s="1" t="s">
        <v>11</v>
      </c>
      <c r="B11" s="1">
        <v>4270.67</v>
      </c>
      <c r="C11" s="1">
        <v>9</v>
      </c>
      <c r="E11" s="1" t="s">
        <v>10</v>
      </c>
      <c r="F11" s="1">
        <v>276</v>
      </c>
      <c r="G11" s="2">
        <v>7</v>
      </c>
    </row>
    <row r="12" spans="1:13" x14ac:dyDescent="0.25">
      <c r="A12" s="1" t="s">
        <v>12</v>
      </c>
      <c r="B12" s="1">
        <v>4226.07</v>
      </c>
      <c r="C12" s="1">
        <v>10</v>
      </c>
      <c r="E12" s="1" t="s">
        <v>9</v>
      </c>
      <c r="F12" s="1">
        <v>275</v>
      </c>
      <c r="G12" s="2">
        <v>8</v>
      </c>
    </row>
    <row r="13" spans="1:13" ht="27" x14ac:dyDescent="0.25">
      <c r="A13" s="1" t="s">
        <v>13</v>
      </c>
      <c r="B13" s="1">
        <v>4217.5200000000004</v>
      </c>
      <c r="C13" s="1">
        <v>11</v>
      </c>
      <c r="E13" s="1" t="s">
        <v>16</v>
      </c>
      <c r="F13" s="1">
        <v>270</v>
      </c>
      <c r="G13" s="2">
        <v>9</v>
      </c>
    </row>
    <row r="14" spans="1:13" x14ac:dyDescent="0.25">
      <c r="A14" s="1" t="s">
        <v>14</v>
      </c>
      <c r="B14" s="1">
        <v>3722.54</v>
      </c>
      <c r="C14" s="1">
        <v>12</v>
      </c>
      <c r="E14" s="4" t="s">
        <v>7</v>
      </c>
      <c r="F14" s="4">
        <v>269</v>
      </c>
      <c r="G14" s="4">
        <v>10</v>
      </c>
    </row>
    <row r="15" spans="1:13" ht="27" x14ac:dyDescent="0.25">
      <c r="A15" s="2" t="s">
        <v>15</v>
      </c>
      <c r="B15" s="2">
        <v>3655.55</v>
      </c>
      <c r="C15" s="2">
        <v>13</v>
      </c>
      <c r="E15" s="2" t="s">
        <v>15</v>
      </c>
      <c r="F15" s="2">
        <v>269</v>
      </c>
      <c r="G15" s="2">
        <v>10</v>
      </c>
    </row>
    <row r="16" spans="1:13" x14ac:dyDescent="0.25">
      <c r="A16" s="2" t="s">
        <v>16</v>
      </c>
      <c r="B16" s="2">
        <v>3639.59</v>
      </c>
      <c r="C16" s="2">
        <v>14</v>
      </c>
      <c r="E16" s="2" t="s">
        <v>14</v>
      </c>
      <c r="F16" s="2">
        <v>248</v>
      </c>
      <c r="G16" s="2">
        <v>11</v>
      </c>
    </row>
    <row r="17" spans="1:13" x14ac:dyDescent="0.25">
      <c r="A17" s="2" t="s">
        <v>17</v>
      </c>
      <c r="B17" s="2">
        <v>3549.64</v>
      </c>
      <c r="C17" s="2">
        <v>15</v>
      </c>
      <c r="E17" s="2" t="s">
        <v>17</v>
      </c>
      <c r="F17" s="2">
        <v>235</v>
      </c>
      <c r="G17" s="2">
        <v>12</v>
      </c>
    </row>
    <row r="18" spans="1:13" x14ac:dyDescent="0.25">
      <c r="A18" s="2" t="s">
        <v>18</v>
      </c>
      <c r="B18" s="2">
        <v>3417.72</v>
      </c>
      <c r="C18" s="2">
        <v>16</v>
      </c>
      <c r="E18" s="8" t="s">
        <v>18</v>
      </c>
      <c r="F18" s="8">
        <v>232</v>
      </c>
      <c r="G18" s="8">
        <v>13</v>
      </c>
    </row>
    <row r="19" spans="1:13" x14ac:dyDescent="0.25">
      <c r="A19" s="5" t="s">
        <v>19</v>
      </c>
      <c r="B19" s="7">
        <f>SUM(B3:B18)</f>
        <v>67406.559999999998</v>
      </c>
      <c r="C19" s="6"/>
      <c r="E19" s="10" t="s">
        <v>19</v>
      </c>
      <c r="F19" s="11">
        <f>SUM(F3:F18)</f>
        <v>4581</v>
      </c>
      <c r="G19" s="9"/>
    </row>
    <row r="23" spans="1:13" x14ac:dyDescent="0.25">
      <c r="I23" s="15" t="s">
        <v>30</v>
      </c>
      <c r="J23" s="16"/>
      <c r="K23" s="16"/>
      <c r="L23" s="16"/>
      <c r="M23" s="16"/>
    </row>
  </sheetData>
  <mergeCells count="4">
    <mergeCell ref="I23:M23"/>
    <mergeCell ref="A1:C1"/>
    <mergeCell ref="E1:G1"/>
    <mergeCell ref="I1:M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8D334-60B4-476A-9C05-034ED5DFE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Sales</vt:lpstr>
      <vt:lpstr>Sales Forecast</vt:lpstr>
      <vt:lpstr>Sales_Inv_Comparison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M</dc:creator>
  <cp:lastModifiedBy>Jaga M</cp:lastModifiedBy>
  <dcterms:created xsi:type="dcterms:W3CDTF">2025-02-15T10:22:49Z</dcterms:created>
  <dcterms:modified xsi:type="dcterms:W3CDTF">2026-04-06T03:04:00Z</dcterms:modified>
</cp:coreProperties>
</file>